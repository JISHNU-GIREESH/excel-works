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jis\Desktop\Excel\"/>
    </mc:Choice>
  </mc:AlternateContent>
  <xr:revisionPtr revIDLastSave="0" documentId="8_{2A03255F-A322-4F10-B919-67F28D07B782}" xr6:coauthVersionLast="47" xr6:coauthVersionMax="47" xr10:uidLastSave="{00000000-0000-0000-0000-000000000000}"/>
  <bookViews>
    <workbookView xWindow="-108" yWindow="-108" windowWidth="23256" windowHeight="12456" xr2:uid="{20C54D45-66B1-4780-B9D9-7B861BE1E2F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2" i="1"/>
  <c r="N3" i="1"/>
  <c r="N4" i="1"/>
  <c r="N5" i="1"/>
  <c r="N6" i="1"/>
  <c r="N2" i="1"/>
  <c r="M3" i="1"/>
  <c r="M4" i="1"/>
  <c r="M5" i="1"/>
  <c r="M6" i="1"/>
  <c r="M2" i="1"/>
  <c r="L3" i="1"/>
  <c r="L4" i="1"/>
  <c r="L5" i="1"/>
  <c r="L6" i="1"/>
  <c r="L2" i="1"/>
  <c r="K6" i="1"/>
  <c r="K3" i="1"/>
  <c r="K4" i="1"/>
  <c r="K5" i="1"/>
  <c r="K2" i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<sst xmlns="http://schemas.openxmlformats.org/spreadsheetml/2006/main" count="34" uniqueCount="31">
  <si>
    <t>Date</t>
  </si>
  <si>
    <t>Emp_ID</t>
  </si>
  <si>
    <t>Employee_Name</t>
  </si>
  <si>
    <t>Region</t>
  </si>
  <si>
    <t>Product</t>
  </si>
  <si>
    <t>Sales</t>
  </si>
  <si>
    <t>E101</t>
  </si>
  <si>
    <t>E102</t>
  </si>
  <si>
    <t>E103</t>
  </si>
  <si>
    <t>E104</t>
  </si>
  <si>
    <t>E105</t>
  </si>
  <si>
    <t>Rahul Sharma</t>
  </si>
  <si>
    <t>Anu Menon</t>
  </si>
  <si>
    <t>Jishnu Gireesh</t>
  </si>
  <si>
    <t>Sreelakshmi P</t>
  </si>
  <si>
    <t>Arun P</t>
  </si>
  <si>
    <t>South Zone</t>
  </si>
  <si>
    <t>North Zone</t>
  </si>
  <si>
    <t>West Zone</t>
  </si>
  <si>
    <t>East Zone</t>
  </si>
  <si>
    <t>Mobile Max</t>
  </si>
  <si>
    <t>Tablet Max</t>
  </si>
  <si>
    <t>Laptop Pro</t>
  </si>
  <si>
    <t>First Name</t>
  </si>
  <si>
    <t>Last Name</t>
  </si>
  <si>
    <t>Name in Proper Case</t>
  </si>
  <si>
    <t>Region Code</t>
  </si>
  <si>
    <t>Product category</t>
  </si>
  <si>
    <t>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</si>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</sst>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4" fontId="0" fillId="3" borderId="1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A64F-EBAD-425D-96B9-F750C1AFA56B}">
  <dimension ref="A1:N6"/>
  <sheetViews>
    <sheetView tabSelected="1" workbookViewId="0">
      <selection activeCell="J10" sqref="J10"/>
    </sheetView>
  </sheetViews>
  <sheetFormatPr defaultRowHeight="14.4" x14ac:dyDescent="0.3"/>
  <cols>
    <col min="1" max="1" width="13.88671875" customWidth="1"/>
    <col min="2" max="2" width="11.77734375" customWidth="1"/>
    <col min="3" max="3" width="16" customWidth="1"/>
    <col min="4" max="4" width="13.33203125" customWidth="1"/>
    <col min="5" max="5" width="12.6640625" customWidth="1"/>
    <col min="6" max="6" width="11.88671875" customWidth="1"/>
    <col min="7" max="7" width="16.6640625" customWidth="1"/>
    <col min="8" max="8" width="13.109375" customWidth="1"/>
    <col min="9" max="9" width="17.44140625" customWidth="1"/>
    <col min="10" max="10" width="11.5546875" customWidth="1"/>
    <col min="11" max="11" width="17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 x14ac:dyDescent="0.3">
      <c r="A2" s="2">
        <v>45839</v>
      </c>
      <c r="B2" s="3" t="s">
        <v>6</v>
      </c>
      <c r="C2" s="3" t="s">
        <v>11</v>
      </c>
      <c r="D2" s="3" t="s">
        <v>16</v>
      </c>
      <c r="E2" s="3" t="s">
        <v>22</v>
      </c>
      <c r="F2" s="3">
        <v>45000</v>
      </c>
      <c r="G2" s="3" t="str">
        <f>LEFT(C2,FIND(" ",C2)-1)</f>
        <v>Rahul</v>
      </c>
      <c r="H2" s="3" t="str">
        <f>RIGHT(C2,LEN(C2)-FIND(" ",C2))</f>
        <v>Sharma</v>
      </c>
      <c r="I2" s="3" t="str">
        <f>PROPER(C2)</f>
        <v>Rahul Sharma</v>
      </c>
      <c r="J2" s="3" t="str">
        <f>IF(D2="South Zone","SZ",
IF(D2="North Zone","NZ",
IF(D2="West Zone","WZ",
IF(D2="East Zone","EZ",""))))</f>
        <v>SZ</v>
      </c>
      <c r="K2" s="3" t="str">
        <f>IF(LEFT(E2,6)="Laptop","Computer",
IF(LEFT(E2,6)="Mobile","Phone","Tablet"))</f>
        <v>Computer</v>
      </c>
      <c r="L2" s="3">
        <f>DAY(A2)</f>
        <v>1</v>
      </c>
      <c r="M2" s="3" t="str">
        <f>TEXT(A2,"mmmm")</f>
        <v>July</v>
      </c>
      <c r="N2" s="3">
        <f>YEAR(A2)</f>
        <v>2025</v>
      </c>
    </row>
    <row r="3" spans="1:14" x14ac:dyDescent="0.3">
      <c r="A3" s="2">
        <v>45840</v>
      </c>
      <c r="B3" s="3" t="s">
        <v>7</v>
      </c>
      <c r="C3" s="3" t="s">
        <v>12</v>
      </c>
      <c r="D3" s="3" t="s">
        <v>17</v>
      </c>
      <c r="E3" s="3" t="s">
        <v>20</v>
      </c>
      <c r="F3" s="3">
        <v>22000</v>
      </c>
      <c r="G3" s="3" t="str">
        <f>LEFT(C3,FIND(" ",C3)-1)</f>
        <v>Anu</v>
      </c>
      <c r="H3" s="3" t="str">
        <f>RIGHT(C3,LEN(C3)-FIND(" ",C3))</f>
        <v>Menon</v>
      </c>
      <c r="I3" s="3" t="str">
        <f>PROPER(C3)</f>
        <v>Anu Menon</v>
      </c>
      <c r="J3" s="3" t="str">
        <f>IF(D3="South Zone","SZ",
IF(D3="North Zone","NZ",
IF(D3="West Zone","WZ",
IF(D3="East Zone","EZ",""))))</f>
        <v>NZ</v>
      </c>
      <c r="K3" s="3" t="str">
        <f>IF(LEFT(E3,6)="Laptop","Computer",
IF(LEFT(E3,6)="Mobile","Phone","Tablet"))</f>
        <v>Phone</v>
      </c>
      <c r="L3" s="3">
        <f>DAY(A3)</f>
        <v>2</v>
      </c>
      <c r="M3" s="3" t="str">
        <f>TEXT(A3,"mmmm")</f>
        <v>July</v>
      </c>
      <c r="N3" s="3">
        <f>YEAR(A3)</f>
        <v>2025</v>
      </c>
    </row>
    <row r="4" spans="1:14" x14ac:dyDescent="0.3">
      <c r="A4" s="2">
        <v>45841</v>
      </c>
      <c r="B4" s="3" t="s">
        <v>8</v>
      </c>
      <c r="C4" s="3" t="s">
        <v>13</v>
      </c>
      <c r="D4" s="3" t="s">
        <v>16</v>
      </c>
      <c r="E4" s="3" t="s">
        <v>22</v>
      </c>
      <c r="F4" s="3">
        <v>50000</v>
      </c>
      <c r="G4" s="3" t="str">
        <f>LEFT(C4,FIND(" ",C4)-1)</f>
        <v>Jishnu</v>
      </c>
      <c r="H4" s="3" t="str">
        <f>RIGHT(C4,LEN(C4)-FIND(" ",C4))</f>
        <v>Gireesh</v>
      </c>
      <c r="I4" s="3" t="str">
        <f>PROPER(C4)</f>
        <v>Jishnu Gireesh</v>
      </c>
      <c r="J4" s="3" t="str">
        <f>IF(D4="South Zone","SZ",
IF(D4="North Zone","NZ",
IF(D4="West Zone","WZ",
IF(D4="East Zone","EZ",""))))</f>
        <v>SZ</v>
      </c>
      <c r="K4" s="3" t="str">
        <f>IF(LEFT(E4,6)="Laptop","Computer",
IF(LEFT(E4,6)="Mobile","Phone","Tablet"))</f>
        <v>Computer</v>
      </c>
      <c r="L4" s="3">
        <f>DAY(A4)</f>
        <v>3</v>
      </c>
      <c r="M4" s="3" t="str">
        <f>TEXT(A4,"mmmm")</f>
        <v>July</v>
      </c>
      <c r="N4" s="3">
        <f>YEAR(A4)</f>
        <v>2025</v>
      </c>
    </row>
    <row r="5" spans="1:14" x14ac:dyDescent="0.3">
      <c r="A5" s="2">
        <v>45842</v>
      </c>
      <c r="B5" s="3" t="s">
        <v>9</v>
      </c>
      <c r="C5" s="3" t="s">
        <v>14</v>
      </c>
      <c r="D5" s="3" t="s">
        <v>18</v>
      </c>
      <c r="E5" s="3" t="s">
        <v>21</v>
      </c>
      <c r="F5" s="3">
        <v>18000</v>
      </c>
      <c r="G5" s="3" t="str">
        <f>LEFT(C5,FIND(" ",C5)-1)</f>
        <v>Sreelakshmi</v>
      </c>
      <c r="H5" s="3" t="str">
        <f>RIGHT(C5,LEN(C5)-FIND(" ",C5))</f>
        <v>P</v>
      </c>
      <c r="I5" s="3" t="str">
        <f>PROPER(C5)</f>
        <v>Sreelakshmi P</v>
      </c>
      <c r="J5" s="3" t="str">
        <f>IF(D5="South Zone","SZ",
IF(D5="North Zone","NZ",
IF(D5="West Zone","WZ",
IF(D5="East Zone","EZ",""))))</f>
        <v>WZ</v>
      </c>
      <c r="K5" s="3" t="str">
        <f>IF(LEFT(E5,6)="Laptop","Computer",
IF(LEFT(E5,6)="Mobile","Phone","Tablet"))</f>
        <v>Tablet</v>
      </c>
      <c r="L5" s="3">
        <f>DAY(A5)</f>
        <v>4</v>
      </c>
      <c r="M5" s="3" t="str">
        <f>TEXT(A5,"mmmm")</f>
        <v>July</v>
      </c>
      <c r="N5" s="3">
        <f>YEAR(A5)</f>
        <v>2025</v>
      </c>
    </row>
    <row r="6" spans="1:14" x14ac:dyDescent="0.3">
      <c r="A6" s="2">
        <v>45843</v>
      </c>
      <c r="B6" s="3" t="s">
        <v>10</v>
      </c>
      <c r="C6" s="3" t="s">
        <v>15</v>
      </c>
      <c r="D6" s="3" t="s">
        <v>19</v>
      </c>
      <c r="E6" s="3" t="s">
        <v>20</v>
      </c>
      <c r="F6" s="3">
        <v>25000</v>
      </c>
      <c r="G6" s="3" t="str">
        <f>LEFT(C6,FIND(" ",C6)-1)</f>
        <v>Arun</v>
      </c>
      <c r="H6" s="3" t="str">
        <f>RIGHT(C6,LEN(C6)-FIND(" ",C6))</f>
        <v>P</v>
      </c>
      <c r="I6" s="3" t="str">
        <f>PROPER(C6)</f>
        <v>Arun P</v>
      </c>
      <c r="J6" s="3" t="str">
        <f>IF(D6="South Zone","SZ",
IF(D6="North Zone","NZ",
IF(D6="West Zone","WZ",
IF(D6="East Zone","EZ",""))))</f>
        <v>EZ</v>
      </c>
      <c r="K6" s="3" t="str">
        <f>IF(LEFT(E6,6)="Laptop","Computer",
IF(LEFT(E6,6)="Mobile","Phone","Tablet"))</f>
        <v>Phone</v>
      </c>
      <c r="L6" s="3">
        <f>DAY(A6)</f>
        <v>5</v>
      </c>
      <c r="M6" s="3" t="str">
        <f>TEXT(A6,"mmmm")</f>
        <v>July</v>
      </c>
      <c r="N6" s="3">
        <f>YEAR(A6)</f>
        <v>2025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 gireesh</dc:creator>
  <cp:lastModifiedBy>jishnu gireesh</cp:lastModifiedBy>
  <dcterms:created xsi:type="dcterms:W3CDTF">2025-12-17T17:53:22Z</dcterms:created>
  <dcterms:modified xsi:type="dcterms:W3CDTF">2025-12-18T10:36:39Z</dcterms:modified>
</cp:coreProperties>
</file>