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nkjis\Desktop\Excel\"/>
    </mc:Choice>
  </mc:AlternateContent>
  <xr:revisionPtr revIDLastSave="0" documentId="13_ncr:1_{DA4C227A-6ABE-4E2C-B168-CF5D447E6760}" xr6:coauthVersionLast="47" xr6:coauthVersionMax="47" xr10:uidLastSave="{00000000-0000-0000-0000-000000000000}"/>
  <bookViews>
    <workbookView xWindow="0" yWindow="360" windowWidth="23256" windowHeight="12456" xr2:uid="{5E4F1600-DEC8-45DB-8313-9173B581C5A7}"/>
  </bookViews>
  <sheets>
    <sheet name="Data &amp; Calculations" sheetId="1" r:id="rId1"/>
    <sheet name="HW-1" sheetId="2" r:id="rId2"/>
    <sheet name="HW-2" sheetId="4" r:id="rId3"/>
    <sheet name="HW-3"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3" i="4" l="1"/>
  <c r="G13" i="4"/>
  <c r="H11" i="4"/>
  <c r="G11" i="4"/>
  <c r="H5" i="4"/>
  <c r="G5" i="4"/>
  <c r="F5" i="4"/>
  <c r="I8" i="2"/>
  <c r="I9" i="2"/>
  <c r="I10" i="2"/>
  <c r="I11" i="2"/>
  <c r="I12" i="2"/>
  <c r="I13" i="2"/>
  <c r="I7" i="2"/>
  <c r="H8" i="2"/>
  <c r="H9" i="2"/>
  <c r="H10" i="2"/>
  <c r="H11" i="2"/>
  <c r="H12" i="2"/>
  <c r="H13" i="2"/>
  <c r="H7" i="2"/>
  <c r="F13" i="1"/>
  <c r="G11" i="1"/>
  <c r="F11" i="1"/>
  <c r="G4" i="1"/>
  <c r="F4" i="1"/>
  <c r="E4" i="1"/>
</calcChain>
</file>

<file path=xl/sharedStrings.xml><?xml version="1.0" encoding="utf-8"?>
<sst xmlns="http://schemas.openxmlformats.org/spreadsheetml/2006/main" count="96" uniqueCount="55">
  <si>
    <t>Sale Rep Criteria:</t>
  </si>
  <si>
    <t>COUNT</t>
  </si>
  <si>
    <t>COUNTA</t>
  </si>
  <si>
    <t>SUM</t>
  </si>
  <si>
    <t>Date Criteria:</t>
  </si>
  <si>
    <t>Counts Numbers</t>
  </si>
  <si>
    <t>Counts cells not empty</t>
  </si>
  <si>
    <t>Adds numbers</t>
  </si>
  <si>
    <t>Count ALL Numbers</t>
  </si>
  <si>
    <t>Count ALL Words</t>
  </si>
  <si>
    <t>Sum ALL Numbers</t>
  </si>
  <si>
    <t>Date</t>
  </si>
  <si>
    <t>SalesRep</t>
  </si>
  <si>
    <t>Sales</t>
  </si>
  <si>
    <t>Chin</t>
  </si>
  <si>
    <t>Gigi</t>
  </si>
  <si>
    <t>**When you specify a "criteria" or "condition" you are saying: "don't make the</t>
  </si>
  <si>
    <t>Dawn</t>
  </si>
  <si>
    <t>calculation on all the items, just on some of the items".</t>
  </si>
  <si>
    <t>COUNTIFS</t>
  </si>
  <si>
    <t>SUMIFS</t>
  </si>
  <si>
    <t>Count w/ 1 or more criteria</t>
  </si>
  <si>
    <t>Add w/ 1 or more criteria</t>
  </si>
  <si>
    <t>Criteria</t>
  </si>
  <si>
    <t>Count</t>
  </si>
  <si>
    <t>Sum</t>
  </si>
  <si>
    <t>In cell H7, create a formula for adding and then copy it down the column. In I7 create a formula that will compare each Sales Rep's total to the Sales Goal (the formula should be =H7/$K$7) and then copy it down the column. When you are done with the formulas, format the table and add Page Setup similar to how we did it in class or like you saw in Excel Basic Video #1.</t>
  </si>
  <si>
    <t>Unit Sales For 2017</t>
  </si>
  <si>
    <t>Sales Reps</t>
  </si>
  <si>
    <t>Jan</t>
  </si>
  <si>
    <t>Feb</t>
  </si>
  <si>
    <t>Mar</t>
  </si>
  <si>
    <t>Apr</t>
  </si>
  <si>
    <t>May</t>
  </si>
  <si>
    <t>Jun</t>
  </si>
  <si>
    <t>Total</t>
  </si>
  <si>
    <t>% of Sales Goal</t>
  </si>
  <si>
    <t>Sales Goal</t>
  </si>
  <si>
    <t>Sioux</t>
  </si>
  <si>
    <t>Jo</t>
  </si>
  <si>
    <t>Mo</t>
  </si>
  <si>
    <t>Phil</t>
  </si>
  <si>
    <t>Pham</t>
  </si>
  <si>
    <t>Shelia</t>
  </si>
  <si>
    <t>Ty</t>
  </si>
  <si>
    <t>In cell F5 count how many numbers there are in the range C4:C12. In cell F6 count how many words there are in the range B4:B12. In cell H5 add the sales numbers from the range C4:C12. In cells G11 and G13 use the COUNTIFS function to count with one condition/criteria. In cells H11 and H13 use the SUMIFS function to add with one condition/criteria.</t>
  </si>
  <si>
    <t>Function to use:</t>
  </si>
  <si>
    <t>Han</t>
  </si>
  <si>
    <t>Bob</t>
  </si>
  <si>
    <t>Fran</t>
  </si>
  <si>
    <t>Create a column Chart that shows the sales for each Sales Rep.</t>
  </si>
  <si>
    <t>Monday Sales</t>
  </si>
  <si>
    <t>Sales Rep</t>
  </si>
  <si>
    <t>Sims</t>
  </si>
  <si>
    <t>Tina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</si>
</sst>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9" formatCode="&quot;$&quot;#,##0_);[Red]\(&quot;$&quot;#,##0\)"/>
  </numFmts>
  <fonts count="4" x14ac:knownFonts="1">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rgb="FFFFFFCC"/>
        <bgColor indexed="64"/>
      </patternFill>
    </fill>
    <fill>
      <patternFill patternType="solid">
        <fgColor rgb="FF002060"/>
        <bgColor indexed="64"/>
      </patternFill>
    </fill>
    <fill>
      <patternFill patternType="solid">
        <fgColor rgb="FFCCFFCC"/>
        <bgColor indexed="64"/>
      </patternFill>
    </fill>
    <fill>
      <patternFill patternType="solid">
        <fgColor rgb="FFFFFF00"/>
        <bgColor indexed="64"/>
      </patternFill>
    </fill>
    <fill>
      <patternFill patternType="solid">
        <fgColor theme="8" tint="-0.499984740745262"/>
        <bgColor indexed="64"/>
      </patternFill>
    </fill>
    <fill>
      <patternFill patternType="solid">
        <fgColor theme="4" tint="0.79998168889431442"/>
        <bgColor indexed="64"/>
      </patternFill>
    </fill>
    <fill>
      <patternFill patternType="solid">
        <fgColor theme="9"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0" fillId="0" borderId="1" xfId="0" applyBorder="1"/>
    <xf numFmtId="0" fontId="3" fillId="2" borderId="1" xfId="0" applyFont="1" applyFill="1" applyBorder="1"/>
    <xf numFmtId="14" fontId="0" fillId="0" borderId="1" xfId="0" applyNumberFormat="1" applyBorder="1"/>
    <xf numFmtId="0" fontId="0" fillId="3" borderId="1" xfId="0" applyFill="1" applyBorder="1" applyAlignment="1">
      <alignment wrapText="1"/>
    </xf>
    <xf numFmtId="0" fontId="2" fillId="4" borderId="2" xfId="0" applyFont="1" applyFill="1" applyBorder="1"/>
    <xf numFmtId="0" fontId="2" fillId="4" borderId="1" xfId="0" applyFont="1" applyFill="1" applyBorder="1"/>
    <xf numFmtId="0" fontId="0" fillId="5" borderId="1" xfId="0" applyFill="1" applyBorder="1"/>
    <xf numFmtId="164" fontId="0" fillId="5" borderId="1" xfId="0" applyNumberFormat="1" applyFill="1" applyBorder="1"/>
    <xf numFmtId="164" fontId="0" fillId="0" borderId="1" xfId="0" applyNumberFormat="1" applyBorder="1"/>
    <xf numFmtId="0" fontId="1" fillId="0" borderId="0" xfId="0" applyFont="1"/>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5" xfId="0" applyFill="1" applyBorder="1" applyAlignment="1">
      <alignment horizontal="center" wrapText="1"/>
    </xf>
    <xf numFmtId="0" fontId="2" fillId="7" borderId="1" xfId="0" applyFont="1" applyFill="1" applyBorder="1"/>
    <xf numFmtId="0" fontId="0" fillId="8" borderId="1" xfId="0" applyFill="1" applyBorder="1"/>
    <xf numFmtId="10" fontId="0" fillId="8" borderId="1" xfId="0" applyNumberFormat="1" applyFill="1" applyBorder="1"/>
    <xf numFmtId="0" fontId="0" fillId="9" borderId="0" xfId="0" applyFill="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6" xfId="0" applyFill="1" applyBorder="1"/>
    <xf numFmtId="0" fontId="0" fillId="2" borderId="11" xfId="0" applyFill="1" applyBorder="1"/>
    <xf numFmtId="0" fontId="0" fillId="3" borderId="3" xfId="0" applyFill="1" applyBorder="1"/>
    <xf numFmtId="0" fontId="0" fillId="3" borderId="4" xfId="0" applyFill="1" applyBorder="1"/>
    <xf numFmtId="0" fontId="0" fillId="3" borderId="5" xfId="0" applyFill="1" applyBorder="1"/>
    <xf numFmtId="0" fontId="0" fillId="6" borderId="3" xfId="0" applyFill="1" applyBorder="1"/>
    <xf numFmtId="0" fontId="0" fillId="6" borderId="5" xfId="0" applyFill="1" applyBorder="1"/>
    <xf numFmtId="169" fontId="0" fillId="0" borderId="1" xfId="0" applyNumberFormat="1" applyBorder="1"/>
  </cellXfs>
  <cellStyles count="1">
    <cellStyle name="Normal" xfId="0" builtinId="0"/>
  </cellStyles>
  <dxfs count="7">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'HW-3'!$B$5</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'HW-3'!$A$6:$A$10</c:f>
              <c:strCache>
                <c:ptCount val="5"/>
                <c:pt idx="0">
                  <c:v>Gigi</c:v>
                </c:pt>
                <c:pt idx="1">
                  <c:v>Phil</c:v>
                </c:pt>
                <c:pt idx="2">
                  <c:v>Sims</c:v>
                </c:pt>
                <c:pt idx="3">
                  <c:v>Tina</c:v>
                </c:pt>
                <c:pt idx="4">
                  <c:v>Shelia</c:v>
                </c:pt>
              </c:strCache>
            </c:strRef>
          </c:cat>
          <c:val>
            <c:numRef>
              <c:f>'HW-3'!$B$6:$B$10</c:f>
              <c:numCache>
                <c:formatCode>"$"#,##0_);[Red]\("$"#,##0\)</c:formatCode>
                <c:ptCount val="5"/>
                <c:pt idx="0">
                  <c:v>171</c:v>
                </c:pt>
                <c:pt idx="1">
                  <c:v>207</c:v>
                </c:pt>
                <c:pt idx="2">
                  <c:v>286</c:v>
                </c:pt>
                <c:pt idx="3">
                  <c:v>184</c:v>
                </c:pt>
                <c:pt idx="4">
                  <c:v>272</c:v>
                </c:pt>
              </c:numCache>
            </c:numRef>
          </c:val>
          <c:extLst>
            <c:ext xmlns:c16="http://schemas.microsoft.com/office/drawing/2014/chart" uri="{C3380CC4-5D6E-409C-BE32-E72D297353CC}">
              <c16:uniqueId val="{00000000-7C4B-4B05-9882-69E4D42411AE}"/>
            </c:ext>
          </c:extLst>
        </c:ser>
        <c:dLbls>
          <c:dLblPos val="outEnd"/>
          <c:showLegendKey val="0"/>
          <c:showVal val="1"/>
          <c:showCatName val="0"/>
          <c:showSerName val="0"/>
          <c:showPercent val="0"/>
          <c:showBubbleSize val="0"/>
        </c:dLbls>
        <c:gapWidth val="219"/>
        <c:overlap val="-27"/>
        <c:axId val="431693279"/>
        <c:axId val="431693759"/>
      </c:barChart>
      <c:catAx>
        <c:axId val="43169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93759"/>
        <c:crosses val="autoZero"/>
        <c:auto val="1"/>
        <c:lblAlgn val="ctr"/>
        <c:lblOffset val="100"/>
        <c:noMultiLvlLbl val="0"/>
      </c:catAx>
      <c:valAx>
        <c:axId val="431693759"/>
        <c:scaling>
          <c:orientation val="minMax"/>
        </c:scaling>
        <c:delete val="1"/>
        <c:axPos val="l"/>
        <c:numFmt formatCode="&quot;$&quot;#,##0_);[Red]\(&quot;$&quot;#,##0\)" sourceLinked="1"/>
        <c:majorTickMark val="none"/>
        <c:minorTickMark val="none"/>
        <c:tickLblPos val="nextTo"/>
        <c:crossAx val="43169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376115</xdr:colOff>
      <xdr:row>1</xdr:row>
      <xdr:rowOff>170961</xdr:rowOff>
    </xdr:from>
    <xdr:to>
      <xdr:col>7</xdr:col>
      <xdr:colOff>102577</xdr:colOff>
      <xdr:row>11</xdr:row>
      <xdr:rowOff>19540</xdr:rowOff>
    </xdr:to>
    <xdr:graphicFrame macro="">
      <xdr:nvGraphicFramePr>
        <xdr:cNvPr id="2" name="Chart 1">
          <a:extLst>
            <a:ext uri="{FF2B5EF4-FFF2-40B4-BE49-F238E27FC236}">
              <a16:creationId xmlns:a16="http://schemas.microsoft.com/office/drawing/2014/main" id="{D6EE89B5-7E09-6AFB-91C7-0AC8C529B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2C5C0-E4F3-4645-BD13-334D132C8010}">
  <sheetPr codeName="Sheet1"/>
  <dimension ref="A1:G13"/>
  <sheetViews>
    <sheetView tabSelected="1" zoomScale="167" zoomScaleNormal="167" workbookViewId="0">
      <selection activeCell="G11" sqref="G11"/>
    </sheetView>
  </sheetViews>
  <sheetFormatPr defaultRowHeight="14.4" x14ac:dyDescent="0.3"/>
  <cols>
    <col min="1" max="1" width="19.6640625" customWidth="1"/>
    <col min="2" max="2" width="11.21875" customWidth="1"/>
    <col min="5" max="5" width="22.21875" customWidth="1"/>
    <col min="6" max="6" width="22.77734375" customWidth="1"/>
    <col min="7" max="7" width="25.33203125" customWidth="1"/>
  </cols>
  <sheetData>
    <row r="1" spans="1:7" x14ac:dyDescent="0.3">
      <c r="A1" s="1" t="s">
        <v>0</v>
      </c>
      <c r="B1" s="1"/>
      <c r="E1" s="2" t="s">
        <v>1</v>
      </c>
      <c r="F1" s="2" t="s">
        <v>2</v>
      </c>
      <c r="G1" s="2" t="s">
        <v>3</v>
      </c>
    </row>
    <row r="2" spans="1:7" ht="15" customHeight="1" x14ac:dyDescent="0.3">
      <c r="A2" s="1" t="s">
        <v>4</v>
      </c>
      <c r="B2" s="3">
        <v>43032</v>
      </c>
      <c r="E2" s="4" t="s">
        <v>5</v>
      </c>
      <c r="F2" s="4" t="s">
        <v>6</v>
      </c>
      <c r="G2" s="4" t="s">
        <v>7</v>
      </c>
    </row>
    <row r="3" spans="1:7" x14ac:dyDescent="0.3">
      <c r="E3" s="5" t="s">
        <v>8</v>
      </c>
      <c r="F3" s="5" t="s">
        <v>9</v>
      </c>
      <c r="G3" s="5" t="s">
        <v>10</v>
      </c>
    </row>
    <row r="4" spans="1:7" x14ac:dyDescent="0.3">
      <c r="A4" s="6" t="s">
        <v>11</v>
      </c>
      <c r="B4" s="6" t="s">
        <v>12</v>
      </c>
      <c r="C4" s="6" t="s">
        <v>13</v>
      </c>
      <c r="E4" s="7">
        <f>COUNT(C5:C13)</f>
        <v>9</v>
      </c>
      <c r="F4" s="7">
        <f>COUNTA(B5:B13)</f>
        <v>9</v>
      </c>
      <c r="G4" s="8">
        <f>SUM(C5:C13)</f>
        <v>2400</v>
      </c>
    </row>
    <row r="5" spans="1:7" x14ac:dyDescent="0.3">
      <c r="A5" s="3">
        <v>43031</v>
      </c>
      <c r="B5" s="1" t="s">
        <v>14</v>
      </c>
      <c r="C5" s="9">
        <v>100</v>
      </c>
    </row>
    <row r="6" spans="1:7" x14ac:dyDescent="0.3">
      <c r="A6" s="3">
        <v>43031</v>
      </c>
      <c r="B6" s="1" t="s">
        <v>15</v>
      </c>
      <c r="C6" s="9">
        <v>200</v>
      </c>
      <c r="E6" s="10" t="s">
        <v>16</v>
      </c>
      <c r="F6" s="10"/>
      <c r="G6" s="10"/>
    </row>
    <row r="7" spans="1:7" x14ac:dyDescent="0.3">
      <c r="A7" s="3">
        <v>43032</v>
      </c>
      <c r="B7" s="1" t="s">
        <v>17</v>
      </c>
      <c r="C7" s="9">
        <v>100</v>
      </c>
      <c r="E7" s="10" t="s">
        <v>18</v>
      </c>
      <c r="F7" s="10"/>
      <c r="G7" s="10"/>
    </row>
    <row r="8" spans="1:7" x14ac:dyDescent="0.3">
      <c r="A8" s="3">
        <v>43032</v>
      </c>
      <c r="B8" s="1" t="s">
        <v>14</v>
      </c>
      <c r="C8" s="9">
        <v>300</v>
      </c>
      <c r="F8" s="2" t="s">
        <v>19</v>
      </c>
      <c r="G8" s="2" t="s">
        <v>20</v>
      </c>
    </row>
    <row r="9" spans="1:7" ht="12.6" customHeight="1" x14ac:dyDescent="0.3">
      <c r="A9" s="3">
        <v>43032</v>
      </c>
      <c r="B9" s="1" t="s">
        <v>14</v>
      </c>
      <c r="C9" s="9">
        <v>700</v>
      </c>
      <c r="F9" s="4" t="s">
        <v>21</v>
      </c>
      <c r="G9" s="4" t="s">
        <v>22</v>
      </c>
    </row>
    <row r="10" spans="1:7" x14ac:dyDescent="0.3">
      <c r="A10" s="3">
        <v>43031</v>
      </c>
      <c r="B10" s="1" t="s">
        <v>17</v>
      </c>
      <c r="C10" s="9">
        <v>100</v>
      </c>
      <c r="E10" s="5" t="s">
        <v>23</v>
      </c>
      <c r="F10" s="5" t="s">
        <v>24</v>
      </c>
      <c r="G10" s="5" t="s">
        <v>25</v>
      </c>
    </row>
    <row r="11" spans="1:7" x14ac:dyDescent="0.3">
      <c r="A11" s="3">
        <v>43032</v>
      </c>
      <c r="B11" s="1" t="s">
        <v>15</v>
      </c>
      <c r="C11" s="9">
        <v>200</v>
      </c>
      <c r="E11" s="1" t="s">
        <v>15</v>
      </c>
      <c r="F11" s="7">
        <f>COUNTIFS(B5:B13,E11)</f>
        <v>4</v>
      </c>
      <c r="G11" s="8">
        <f>SUMIFS(C5:C13,B5:B13,E11)</f>
        <v>1100</v>
      </c>
    </row>
    <row r="12" spans="1:7" x14ac:dyDescent="0.3">
      <c r="A12" s="3">
        <v>43032</v>
      </c>
      <c r="B12" s="1" t="s">
        <v>15</v>
      </c>
      <c r="C12" s="9">
        <v>500</v>
      </c>
      <c r="E12" s="5" t="s">
        <v>23</v>
      </c>
      <c r="F12" s="5" t="s">
        <v>24</v>
      </c>
      <c r="G12" s="5" t="s">
        <v>25</v>
      </c>
    </row>
    <row r="13" spans="1:7" x14ac:dyDescent="0.3">
      <c r="A13" s="3">
        <v>43031</v>
      </c>
      <c r="B13" s="1" t="s">
        <v>15</v>
      </c>
      <c r="C13" s="9">
        <v>200</v>
      </c>
      <c r="E13" s="3">
        <v>43031</v>
      </c>
      <c r="F13" s="7">
        <f>COUNTIFS(A5:A13,E13)</f>
        <v>4</v>
      </c>
      <c r="G13" s="8"/>
    </row>
  </sheetData>
  <conditionalFormatting sqref="A5:C13">
    <cfRule type="expression" dxfId="6" priority="1">
      <formula>$A5=$B$2</formula>
    </cfRule>
    <cfRule type="expression" dxfId="5" priority="5">
      <formula>$B5=$B$1</formula>
    </cfRule>
    <cfRule type="expression" dxfId="4" priority="6">
      <formula>AND($A5=$B$2, $B5=$B$1)</formula>
    </cfRule>
    <cfRule type="expression" dxfId="3" priority="7">
      <formula>AND($A5=$A$1, $B5=$B$1)</formula>
    </cfRule>
  </conditionalFormatting>
  <conditionalFormatting sqref="B2">
    <cfRule type="expression" dxfId="2" priority="2">
      <formula>$B2=$B$1</formula>
    </cfRule>
    <cfRule type="expression" dxfId="1" priority="3">
      <formula>AND($A2=$B$2, $B2=$B$1)</formula>
    </cfRule>
    <cfRule type="expression" dxfId="0" priority="4">
      <formula>AND($A2=$A$1, $B2=$B$1)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ED7-D8D1-4921-9C5D-EB5BC94AAFB8}">
  <sheetPr codeName="Sheet2"/>
  <dimension ref="A1:L13"/>
  <sheetViews>
    <sheetView zoomScale="146" zoomScaleNormal="100" workbookViewId="0">
      <selection activeCell="E3" sqref="E3"/>
    </sheetView>
  </sheetViews>
  <sheetFormatPr defaultRowHeight="14.4" x14ac:dyDescent="0.3"/>
  <cols>
    <col min="9" max="9" width="13.5546875" customWidth="1"/>
  </cols>
  <sheetData>
    <row r="1" spans="1:12" ht="40.799999999999997" customHeight="1" x14ac:dyDescent="0.3">
      <c r="A1" s="11" t="s">
        <v>26</v>
      </c>
      <c r="B1" s="12"/>
      <c r="C1" s="12"/>
      <c r="D1" s="12"/>
      <c r="E1" s="12"/>
      <c r="F1" s="12"/>
      <c r="G1" s="12"/>
      <c r="H1" s="12"/>
      <c r="I1" s="12"/>
      <c r="J1" s="12"/>
      <c r="K1" s="12"/>
      <c r="L1" s="13"/>
    </row>
    <row r="4" spans="1:12" x14ac:dyDescent="0.3">
      <c r="A4" s="17" t="s">
        <v>27</v>
      </c>
      <c r="B4" s="17"/>
      <c r="C4" s="17"/>
      <c r="D4" s="17"/>
      <c r="E4" s="17"/>
      <c r="F4" s="17"/>
      <c r="G4" s="17"/>
      <c r="H4" s="17"/>
      <c r="I4" s="17"/>
    </row>
    <row r="6" spans="1:12" x14ac:dyDescent="0.3">
      <c r="A6" s="6" t="s">
        <v>28</v>
      </c>
      <c r="B6" s="6" t="s">
        <v>29</v>
      </c>
      <c r="C6" s="6" t="s">
        <v>30</v>
      </c>
      <c r="D6" s="6" t="s">
        <v>31</v>
      </c>
      <c r="E6" s="6" t="s">
        <v>32</v>
      </c>
      <c r="F6" s="6" t="s">
        <v>33</v>
      </c>
      <c r="G6" s="6" t="s">
        <v>34</v>
      </c>
      <c r="H6" s="14" t="s">
        <v>35</v>
      </c>
      <c r="I6" s="14" t="s">
        <v>36</v>
      </c>
      <c r="K6" t="s">
        <v>37</v>
      </c>
    </row>
    <row r="7" spans="1:12" x14ac:dyDescent="0.3">
      <c r="A7" s="1" t="s">
        <v>38</v>
      </c>
      <c r="B7" s="1">
        <v>109</v>
      </c>
      <c r="C7" s="1">
        <v>133</v>
      </c>
      <c r="D7" s="1">
        <v>378</v>
      </c>
      <c r="E7" s="1">
        <v>527</v>
      </c>
      <c r="F7" s="1">
        <v>243</v>
      </c>
      <c r="G7" s="1">
        <v>190</v>
      </c>
      <c r="H7" s="15">
        <f>SUM(B7:G7)</f>
        <v>1580</v>
      </c>
      <c r="I7" s="16">
        <f>H7/$K$7</f>
        <v>0.81025641025641026</v>
      </c>
      <c r="K7">
        <v>1950</v>
      </c>
    </row>
    <row r="8" spans="1:12" x14ac:dyDescent="0.3">
      <c r="A8" s="1" t="s">
        <v>39</v>
      </c>
      <c r="B8" s="1">
        <v>188</v>
      </c>
      <c r="C8" s="1">
        <v>440</v>
      </c>
      <c r="D8" s="1">
        <v>472</v>
      </c>
      <c r="E8" s="1">
        <v>172</v>
      </c>
      <c r="F8" s="1">
        <v>271</v>
      </c>
      <c r="G8" s="1">
        <v>203</v>
      </c>
      <c r="H8" s="15">
        <f t="shared" ref="H8:H13" si="0">SUM(B8:G8)</f>
        <v>1746</v>
      </c>
      <c r="I8" s="16">
        <f t="shared" ref="I8:I13" si="1">H8/$K$7</f>
        <v>0.89538461538461533</v>
      </c>
    </row>
    <row r="9" spans="1:12" x14ac:dyDescent="0.3">
      <c r="A9" s="1" t="s">
        <v>40</v>
      </c>
      <c r="B9" s="1">
        <v>372</v>
      </c>
      <c r="C9" s="1">
        <v>122</v>
      </c>
      <c r="D9" s="1">
        <v>538</v>
      </c>
      <c r="E9" s="1">
        <v>143</v>
      </c>
      <c r="F9" s="1">
        <v>386</v>
      </c>
      <c r="G9" s="1">
        <v>201</v>
      </c>
      <c r="H9" s="15">
        <f t="shared" si="0"/>
        <v>1762</v>
      </c>
      <c r="I9" s="16">
        <f t="shared" si="1"/>
        <v>0.90358974358974364</v>
      </c>
    </row>
    <row r="10" spans="1:12" x14ac:dyDescent="0.3">
      <c r="A10" s="1" t="s">
        <v>41</v>
      </c>
      <c r="B10" s="1">
        <v>145</v>
      </c>
      <c r="C10" s="1">
        <v>293</v>
      </c>
      <c r="D10" s="1">
        <v>169</v>
      </c>
      <c r="E10" s="1">
        <v>193</v>
      </c>
      <c r="F10" s="1">
        <v>325</v>
      </c>
      <c r="G10" s="1">
        <v>424</v>
      </c>
      <c r="H10" s="15">
        <f t="shared" si="0"/>
        <v>1549</v>
      </c>
      <c r="I10" s="16">
        <f t="shared" si="1"/>
        <v>0.7943589743589744</v>
      </c>
    </row>
    <row r="11" spans="1:12" x14ac:dyDescent="0.3">
      <c r="A11" s="1" t="s">
        <v>42</v>
      </c>
      <c r="B11" s="1">
        <v>457</v>
      </c>
      <c r="C11" s="1">
        <v>313</v>
      </c>
      <c r="D11" s="1">
        <v>385</v>
      </c>
      <c r="E11" s="1">
        <v>430</v>
      </c>
      <c r="F11" s="1">
        <v>374</v>
      </c>
      <c r="G11" s="1">
        <v>158</v>
      </c>
      <c r="H11" s="15">
        <f t="shared" si="0"/>
        <v>2117</v>
      </c>
      <c r="I11" s="16">
        <f t="shared" si="1"/>
        <v>1.0856410256410256</v>
      </c>
    </row>
    <row r="12" spans="1:12" x14ac:dyDescent="0.3">
      <c r="A12" s="1" t="s">
        <v>43</v>
      </c>
      <c r="B12" s="1">
        <v>367</v>
      </c>
      <c r="C12" s="1">
        <v>458</v>
      </c>
      <c r="D12" s="1">
        <v>494</v>
      </c>
      <c r="E12" s="1">
        <v>146</v>
      </c>
      <c r="F12" s="1">
        <v>429</v>
      </c>
      <c r="G12" s="1">
        <v>540</v>
      </c>
      <c r="H12" s="15">
        <f t="shared" si="0"/>
        <v>2434</v>
      </c>
      <c r="I12" s="16">
        <f t="shared" si="1"/>
        <v>1.2482051282051283</v>
      </c>
    </row>
    <row r="13" spans="1:12" x14ac:dyDescent="0.3">
      <c r="A13" s="1" t="s">
        <v>44</v>
      </c>
      <c r="B13" s="1">
        <v>211</v>
      </c>
      <c r="C13" s="1">
        <v>197</v>
      </c>
      <c r="D13" s="1">
        <v>274</v>
      </c>
      <c r="E13" s="1">
        <v>252</v>
      </c>
      <c r="F13" s="1">
        <v>318</v>
      </c>
      <c r="G13" s="1">
        <v>521</v>
      </c>
      <c r="H13" s="15">
        <f t="shared" si="0"/>
        <v>1773</v>
      </c>
      <c r="I13" s="16">
        <f t="shared" si="1"/>
        <v>0.90923076923076918</v>
      </c>
    </row>
  </sheetData>
  <mergeCells count="1">
    <mergeCell ref="A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C64DB-59C9-4314-B06E-FB0DCBC73891}">
  <dimension ref="A1:H13"/>
  <sheetViews>
    <sheetView zoomScale="146" workbookViewId="0">
      <selection activeCell="H14" sqref="H14"/>
    </sheetView>
  </sheetViews>
  <sheetFormatPr defaultRowHeight="14.4" x14ac:dyDescent="0.3"/>
  <cols>
    <col min="1" max="1" width="15.44140625" customWidth="1"/>
    <col min="2" max="2" width="10.44140625" customWidth="1"/>
    <col min="5" max="5" width="15.33203125" customWidth="1"/>
    <col min="6" max="6" width="17.77734375" customWidth="1"/>
    <col min="7" max="7" width="17.6640625" customWidth="1"/>
    <col min="8" max="8" width="18.21875" customWidth="1"/>
  </cols>
  <sheetData>
    <row r="1" spans="1:8" ht="49.2" customHeight="1" x14ac:dyDescent="0.3">
      <c r="A1" s="11" t="s">
        <v>45</v>
      </c>
      <c r="B1" s="12"/>
      <c r="C1" s="12"/>
      <c r="D1" s="12"/>
      <c r="E1" s="12"/>
      <c r="F1" s="12"/>
      <c r="G1" s="12"/>
      <c r="H1" s="13"/>
    </row>
    <row r="3" spans="1:8" x14ac:dyDescent="0.3">
      <c r="A3" s="6" t="s">
        <v>11</v>
      </c>
      <c r="B3" s="6" t="s">
        <v>12</v>
      </c>
      <c r="C3" s="6" t="s">
        <v>13</v>
      </c>
      <c r="E3" s="2" t="s">
        <v>46</v>
      </c>
      <c r="F3" s="2" t="s">
        <v>1</v>
      </c>
      <c r="G3" s="2" t="s">
        <v>2</v>
      </c>
      <c r="H3" s="2" t="s">
        <v>3</v>
      </c>
    </row>
    <row r="4" spans="1:8" x14ac:dyDescent="0.3">
      <c r="A4" s="3">
        <v>42456</v>
      </c>
      <c r="B4" s="1" t="s">
        <v>47</v>
      </c>
      <c r="C4" s="9">
        <v>800</v>
      </c>
      <c r="F4" s="6" t="s">
        <v>8</v>
      </c>
      <c r="G4" s="6" t="s">
        <v>9</v>
      </c>
      <c r="H4" s="6" t="s">
        <v>10</v>
      </c>
    </row>
    <row r="5" spans="1:8" x14ac:dyDescent="0.3">
      <c r="A5" s="3">
        <v>42456</v>
      </c>
      <c r="B5" s="1" t="s">
        <v>48</v>
      </c>
      <c r="C5" s="9">
        <v>400</v>
      </c>
      <c r="F5" s="7">
        <f>COUNT(C4:C12)</f>
        <v>9</v>
      </c>
      <c r="G5" s="7">
        <f>COUNTA(B4:B12)</f>
        <v>9</v>
      </c>
      <c r="H5" s="8">
        <f>SUM(C4:C12)</f>
        <v>5900</v>
      </c>
    </row>
    <row r="6" spans="1:8" x14ac:dyDescent="0.3">
      <c r="A6" s="3">
        <v>42454</v>
      </c>
      <c r="B6" s="1" t="s">
        <v>47</v>
      </c>
      <c r="C6" s="9">
        <v>900</v>
      </c>
    </row>
    <row r="7" spans="1:8" x14ac:dyDescent="0.3">
      <c r="A7" s="3">
        <v>42456</v>
      </c>
      <c r="B7" s="1" t="s">
        <v>48</v>
      </c>
      <c r="C7" s="9">
        <v>900</v>
      </c>
      <c r="E7" s="18" t="s">
        <v>16</v>
      </c>
      <c r="F7" s="19"/>
      <c r="G7" s="19"/>
      <c r="H7" s="20"/>
    </row>
    <row r="8" spans="1:8" x14ac:dyDescent="0.3">
      <c r="A8" s="3">
        <v>42455</v>
      </c>
      <c r="B8" s="1" t="s">
        <v>47</v>
      </c>
      <c r="C8" s="9">
        <v>400</v>
      </c>
      <c r="E8" s="21" t="s">
        <v>18</v>
      </c>
      <c r="F8" s="22"/>
      <c r="G8" s="22"/>
      <c r="H8" s="23"/>
    </row>
    <row r="9" spans="1:8" x14ac:dyDescent="0.3">
      <c r="A9" s="3">
        <v>42456</v>
      </c>
      <c r="B9" s="1" t="s">
        <v>49</v>
      </c>
      <c r="C9" s="9">
        <v>500</v>
      </c>
      <c r="F9" s="2" t="s">
        <v>46</v>
      </c>
      <c r="G9" s="2" t="s">
        <v>19</v>
      </c>
      <c r="H9" s="2" t="s">
        <v>20</v>
      </c>
    </row>
    <row r="10" spans="1:8" x14ac:dyDescent="0.3">
      <c r="A10" s="3">
        <v>42454</v>
      </c>
      <c r="B10" s="1" t="s">
        <v>49</v>
      </c>
      <c r="C10" s="9">
        <v>800</v>
      </c>
      <c r="F10" s="5" t="s">
        <v>23</v>
      </c>
      <c r="G10" s="5" t="s">
        <v>24</v>
      </c>
      <c r="H10" s="5" t="s">
        <v>25</v>
      </c>
    </row>
    <row r="11" spans="1:8" x14ac:dyDescent="0.3">
      <c r="A11" s="3">
        <v>42454</v>
      </c>
      <c r="B11" s="1" t="s">
        <v>47</v>
      </c>
      <c r="C11" s="9">
        <v>700</v>
      </c>
      <c r="F11" s="1" t="s">
        <v>47</v>
      </c>
      <c r="G11" s="7">
        <f>COUNTIFS(B4:B12,F11)</f>
        <v>4</v>
      </c>
      <c r="H11" s="8">
        <f>SUMIFS(C4:C12,B4:B12,F11)</f>
        <v>2800</v>
      </c>
    </row>
    <row r="12" spans="1:8" x14ac:dyDescent="0.3">
      <c r="A12" s="3">
        <v>42454</v>
      </c>
      <c r="B12" s="1" t="s">
        <v>49</v>
      </c>
      <c r="C12" s="9">
        <v>500</v>
      </c>
      <c r="F12" s="5" t="s">
        <v>23</v>
      </c>
      <c r="G12" s="5" t="s">
        <v>24</v>
      </c>
      <c r="H12" s="5" t="s">
        <v>25</v>
      </c>
    </row>
    <row r="13" spans="1:8" x14ac:dyDescent="0.3">
      <c r="F13" s="3">
        <v>42456</v>
      </c>
      <c r="G13" s="7">
        <f>COUNTIFS(A4:A12,F13)</f>
        <v>4</v>
      </c>
      <c r="H13" s="8">
        <f>SUMIFS(C4:C12,A4:A12,F13)</f>
        <v>2600</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E2EE8-535F-46B0-8C5F-481673F74B6B}">
  <dimension ref="A1:F10"/>
  <sheetViews>
    <sheetView zoomScale="156" workbookViewId="0">
      <selection activeCell="B6" sqref="B6"/>
    </sheetView>
  </sheetViews>
  <sheetFormatPr defaultRowHeight="14.4" x14ac:dyDescent="0.3"/>
  <sheetData>
    <row r="1" spans="1:6" x14ac:dyDescent="0.3">
      <c r="A1" s="24" t="s">
        <v>50</v>
      </c>
      <c r="B1" s="25"/>
      <c r="C1" s="25"/>
      <c r="D1" s="25"/>
      <c r="E1" s="25"/>
      <c r="F1" s="26"/>
    </row>
    <row r="3" spans="1:6" x14ac:dyDescent="0.3">
      <c r="A3" s="27" t="s">
        <v>51</v>
      </c>
      <c r="B3" s="28"/>
    </row>
    <row r="5" spans="1:6" x14ac:dyDescent="0.3">
      <c r="A5" s="6" t="s">
        <v>52</v>
      </c>
      <c r="B5" s="6" t="s">
        <v>13</v>
      </c>
    </row>
    <row r="6" spans="1:6" x14ac:dyDescent="0.3">
      <c r="A6" s="1" t="s">
        <v>15</v>
      </c>
      <c r="B6" s="29">
        <v>171</v>
      </c>
    </row>
    <row r="7" spans="1:6" x14ac:dyDescent="0.3">
      <c r="A7" s="1" t="s">
        <v>41</v>
      </c>
      <c r="B7" s="29">
        <v>207</v>
      </c>
    </row>
    <row r="8" spans="1:6" x14ac:dyDescent="0.3">
      <c r="A8" s="1" t="s">
        <v>53</v>
      </c>
      <c r="B8" s="29">
        <v>286</v>
      </c>
    </row>
    <row r="9" spans="1:6" x14ac:dyDescent="0.3">
      <c r="A9" s="1" t="s">
        <v>54</v>
      </c>
      <c r="B9" s="29">
        <v>184</v>
      </c>
    </row>
    <row r="10" spans="1:6" x14ac:dyDescent="0.3">
      <c r="A10" s="1" t="s">
        <v>43</v>
      </c>
      <c r="B10" s="29">
        <v>272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&amp; Calculations</vt:lpstr>
      <vt:lpstr>HW-1</vt:lpstr>
      <vt:lpstr>HW-2</vt:lpstr>
      <vt:lpstr>HW-3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 gireesh</dc:creator>
  <cp:lastModifiedBy>jishnu gireesh</cp:lastModifiedBy>
  <dcterms:created xsi:type="dcterms:W3CDTF">2025-12-18T16:56:00Z</dcterms:created>
  <dcterms:modified xsi:type="dcterms:W3CDTF">2025-12-19T06:19:51Z</dcterms:modified>
</cp:coreProperties>
</file>